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288cd0ef16117f/Документи/"/>
    </mc:Choice>
  </mc:AlternateContent>
  <xr:revisionPtr revIDLastSave="3" documentId="8_{D94DD5E6-FBA2-456A-A255-1BE9E91F0A46}" xr6:coauthVersionLast="47" xr6:coauthVersionMax="47" xr10:uidLastSave="{31E3F3C3-379A-483C-9338-E1AC19D93A70}"/>
  <bookViews>
    <workbookView xWindow="-120" yWindow="-120" windowWidth="20730" windowHeight="11310" activeTab="2" xr2:uid="{68D613E2-EC95-486D-847C-04743896CE56}"/>
  </bookViews>
  <sheets>
    <sheet name="Sales by Region" sheetId="6" r:id="rId1"/>
    <sheet name="Highest selling product" sheetId="7" r:id="rId2"/>
    <sheet name="Dashboard" sheetId="8" r:id="rId3"/>
    <sheet name="Sales Data" sheetId="1" r:id="rId4"/>
    <sheet name="Employees" sheetId="2" r:id="rId5"/>
  </sheets>
  <calcPr calcId="191029" concurrentCalc="0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2" i="1"/>
  <c r="K3" i="1"/>
  <c r="K4" i="1"/>
  <c r="K5" i="1"/>
  <c r="K6" i="1"/>
  <c r="K2" i="1"/>
</calcChain>
</file>

<file path=xl/sharedStrings.xml><?xml version="1.0" encoding="utf-8"?>
<sst xmlns="http://schemas.openxmlformats.org/spreadsheetml/2006/main" count="88" uniqueCount="36">
  <si>
    <t>OrderID</t>
  </si>
  <si>
    <t>CustomerName</t>
  </si>
  <si>
    <t>Product</t>
  </si>
  <si>
    <t>Category</t>
  </si>
  <si>
    <t>Quantity</t>
  </si>
  <si>
    <t>UnitPrice</t>
  </si>
  <si>
    <t>OrderDate</t>
  </si>
  <si>
    <t>Region</t>
  </si>
  <si>
    <t>SalesAmount</t>
  </si>
  <si>
    <t>John Doe</t>
  </si>
  <si>
    <t>Laptop</t>
  </si>
  <si>
    <t>Electronics</t>
  </si>
  <si>
    <t>North</t>
  </si>
  <si>
    <t>Jane Smith</t>
  </si>
  <si>
    <t>Phone</t>
  </si>
  <si>
    <t>South</t>
  </si>
  <si>
    <t>Michael Tan</t>
  </si>
  <si>
    <t>Refrigerator</t>
  </si>
  <si>
    <t>Home</t>
  </si>
  <si>
    <t>East</t>
  </si>
  <si>
    <t>Samuel Green</t>
  </si>
  <si>
    <t>Washing Machine</t>
  </si>
  <si>
    <t>West</t>
  </si>
  <si>
    <t>Alice Brown</t>
  </si>
  <si>
    <t>Television</t>
  </si>
  <si>
    <t>EmployeeID</t>
  </si>
  <si>
    <t>EmployeeName</t>
  </si>
  <si>
    <t>SalesTarget</t>
  </si>
  <si>
    <t>ActualSales</t>
  </si>
  <si>
    <t>BonusEligibility</t>
  </si>
  <si>
    <t>Yes</t>
  </si>
  <si>
    <t>No</t>
  </si>
  <si>
    <t>Row Labels</t>
  </si>
  <si>
    <t>Grand Total</t>
  </si>
  <si>
    <t>Sum of SalesAmount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</si>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</sst>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[$₦-470]* #,##0.00_-;\-[$₦-470]* #,##0.00_-;_-[$₦-470]* &quot;-&quot;??_-;_-@_-"/>
    <numFmt numFmtId="165" formatCode="_-[$₦-468]\ * #,##0.00_-;\-[$₦-468]\ * #,##0.00_-;_-[$₦-468]\ * &quot;-&quot;??_-;_-@_-"/>
    <numFmt numFmtId="166" formatCode="_-[$₦-46A]* #,##0.00_-;\-[$₦-46A]* #,##0.00_-;_-[$₦-46A]* &quot;-&quot;??_-;_-@_-"/>
    <numFmt numFmtId="167" formatCode="_-[$₦-466]\ * #,##0.00_-;\-[$₦-466]\ * #,##0.00_-;_-[$₦-466]\ * &quot;-&quot;??_-;_-@_-"/>
    <numFmt numFmtId="170" formatCode="_-[$₦-466]\ * #,##0_-;\-[$₦-466]\ * #,##0_-;_-[$₦-466]\ * &quot;-&quot;??_-;_-@_-"/>
    <numFmt numFmtId="173" formatCode="_-[$₦-470]* #,##0_-;\-[$₦-470]* #,##0_-;_-[$₦-470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1" fillId="0" borderId="0" xfId="0" applyNumberFormat="1" applyFont="1"/>
    <xf numFmtId="16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6" fontId="1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center"/>
    </xf>
    <xf numFmtId="170" fontId="0" fillId="0" borderId="0" xfId="0" applyNumberFormat="1"/>
    <xf numFmtId="173" fontId="0" fillId="0" borderId="0" xfId="0" applyNumberFormat="1"/>
  </cellXfs>
  <cellStyles count="1">
    <cellStyle name="Normal" xfId="0" builtinId="0"/>
  </cellStyles>
  <dxfs count="15">
    <dxf>
      <numFmt numFmtId="172" formatCode="_-[$₦-470]* #,##0.0_-;\-[$₦-470]* #,##0.0_-;_-[$₦-470]* &quot;-&quot;??_-;_-@_-"/>
    </dxf>
    <dxf>
      <numFmt numFmtId="173" formatCode="_-[$₦-470]* #,##0_-;\-[$₦-470]* #,##0_-;_-[$₦-470]* &quot;-&quot;??_-;_-@_-"/>
    </dxf>
    <dxf>
      <numFmt numFmtId="172" formatCode="_-[$₦-470]* #,##0.0_-;\-[$₦-470]* #,##0.0_-;_-[$₦-470]* &quot;-&quot;??_-;_-@_-"/>
    </dxf>
    <dxf>
      <numFmt numFmtId="172" formatCode="_-[$₦-470]* #,##0.0_-;\-[$₦-470]* #,##0.0_-;_-[$₦-470]* &quot;-&quot;??_-;_-@_-"/>
    </dxf>
    <dxf>
      <numFmt numFmtId="173" formatCode="_-[$₦-470]* #,##0_-;\-[$₦-470]* #,##0_-;_-[$₦-470]* &quot;-&quot;??_-;_-@_-"/>
    </dxf>
    <dxf>
      <numFmt numFmtId="172" formatCode="_-[$₦-470]* #,##0.0_-;\-[$₦-470]* #,##0.0_-;_-[$₦-470]* &quot;-&quot;??_-;_-@_-"/>
    </dxf>
    <dxf>
      <numFmt numFmtId="173" formatCode="_-[$₦-470]* #,##0_-;\-[$₦-470]* #,##0_-;_-[$₦-470]* &quot;-&quot;??_-;_-@_-"/>
    </dxf>
    <dxf>
      <numFmt numFmtId="172" formatCode="_-[$₦-470]* #,##0.0_-;\-[$₦-470]* #,##0.0_-;_-[$₦-470]* &quot;-&quot;??_-;_-@_-"/>
    </dxf>
    <dxf>
      <numFmt numFmtId="173" formatCode="_-[$₦-470]* #,##0_-;\-[$₦-470]* #,##0_-;_-[$₦-470]* &quot;-&quot;??_-;_-@_-"/>
    </dxf>
    <dxf>
      <numFmt numFmtId="173" formatCode="_-[$₦-470]* #,##0_-;\-[$₦-470]* #,##0_-;_-[$₦-470]* &quot;-&quot;??_-;_-@_-"/>
    </dxf>
    <dxf>
      <numFmt numFmtId="170" formatCode="_-[$₦-466]\ * #,##0_-;\-[$₦-466]\ * #,##0_-;_-[$₦-466]\ * &quot;-&quot;??_-;_-@_-"/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4F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capstone project.xlsx]Sales by Region!PivotTable1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_-[$₦-470]* #,##0_-;\-[$₦-470]* #,##0_-;_-[$₦-470]* "-"??_-;_-@_-</c:formatCode>
                <c:ptCount val="4"/>
                <c:pt idx="0">
                  <c:v>1200</c:v>
                </c:pt>
                <c:pt idx="1">
                  <c:v>1900</c:v>
                </c:pt>
                <c:pt idx="2">
                  <c:v>700</c:v>
                </c:pt>
                <c:pt idx="3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3-4530-96EA-9736F7CCC2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3493568"/>
        <c:axId val="603494048"/>
      </c:barChart>
      <c:catAx>
        <c:axId val="6034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94048"/>
        <c:crosses val="autoZero"/>
        <c:auto val="1"/>
        <c:lblAlgn val="ctr"/>
        <c:lblOffset val="100"/>
        <c:noMultiLvlLbl val="0"/>
      </c:catAx>
      <c:valAx>
        <c:axId val="6034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_-[$₦-470]* #,##0_-;\-[$₦-470]* #,##0_-;_-[$₦-470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49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capstone project.xlsx]Highest selling product!PivotTable2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Selling Products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BAF3101-9FD6-414F-AC92-724B1FDA7256}" type="VALUE">
                  <a:rPr lang="en-US"/>
                  <a:pPr>
                    <a:defRPr/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'Highest selling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4"/>
              <c:tx>
                <c:rich>
                  <a:bodyPr/>
                  <a:lstStyle/>
                  <a:p>
                    <a:fld id="{DBAF3101-9FD6-414F-AC92-724B1FDA7256}" type="VALUE">
                      <a:rPr lang="en-US"/>
                      <a:pPr/>
                      <a:t>[VALUE]</a:t>
                    </a:fld>
                    <a:endParaRPr lang="en-US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932-472A-B722-A65FDA3B4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'Highest selling product'!$A$4:$A$9</c:f>
              <c:strCache>
                <c:ptCount val="5"/>
                <c:pt idx="0">
                  <c:v>Washing Machine</c:v>
                </c:pt>
                <c:pt idx="1">
                  <c:v>Refrigerator</c:v>
                </c:pt>
                <c:pt idx="2">
                  <c:v>Laptop</c:v>
                </c:pt>
                <c:pt idx="3">
                  <c:v>Television</c:v>
                </c:pt>
                <c:pt idx="4">
                  <c:v>Phone</c:v>
                </c:pt>
              </c:strCache>
            </c:strRef>
          </c:cat>
          <c:val>
            <c:numRef>
              <c:f>'Highest selling product'!$B$4:$B$9</c:f>
              <c:numCache>
                <c:formatCode>_-[$₦-470]* #,##0_-;\-[$₦-470]* #,##0_-;_-[$₦-470]* "-"??_-;_-@_-</c:formatCode>
                <c:ptCount val="5"/>
                <c:pt idx="0">
                  <c:v>1600</c:v>
                </c:pt>
                <c:pt idx="1">
                  <c:v>1200</c:v>
                </c:pt>
                <c:pt idx="2">
                  <c:v>1000</c:v>
                </c:pt>
                <c:pt idx="3">
                  <c:v>900</c:v>
                </c:pt>
                <c:pt idx="4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2-472A-B722-A65FDA3B4D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3545888"/>
        <c:axId val="603547328"/>
      </c:barChart>
      <c:catAx>
        <c:axId val="603545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547328"/>
        <c:crosses val="autoZero"/>
        <c:auto val="1"/>
        <c:lblAlgn val="ctr"/>
        <c:lblOffset val="100"/>
        <c:noMultiLvlLbl val="0"/>
      </c:catAx>
      <c:valAx>
        <c:axId val="60354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  <a:alpha val="43000"/>
                </a:schemeClr>
              </a:solidFill>
              <a:round/>
            </a:ln>
            <a:effectLst/>
          </c:spPr>
        </c:majorGridlines>
        <c:numFmt formatCode="_-[$₦-470]* #,##0_-;\-[$₦-470]* #,##0_-;_-[$₦-470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0354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9050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0</xdr:row>
      <xdr:rowOff>95251</xdr:rowOff>
    </xdr:from>
    <xdr:to>
      <xdr:col>27</xdr:col>
      <xdr:colOff>108857</xdr:colOff>
      <xdr:row>36</xdr:row>
      <xdr:rowOff>36406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B68096F-C1C0-F335-761A-CEB82B4C0A06}"/>
            </a:ext>
          </a:extLst>
        </xdr:cNvPr>
        <xdr:cNvSpPr txBox="1"/>
      </xdr:nvSpPr>
      <xdr:spPr>
        <a:xfrm>
          <a:off x="5143500" y="95251"/>
          <a:ext cx="12260036" cy="6908012"/>
        </a:xfrm>
        <a:prstGeom prst="rect">
          <a:avLst/>
        </a:prstGeom>
        <a:solidFill>
          <a:srgbClr val="F4F6F8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8</xdr:col>
      <xdr:colOff>128778</xdr:colOff>
      <xdr:row>11</xdr:row>
      <xdr:rowOff>166256</xdr:rowOff>
    </xdr:from>
    <xdr:to>
      <xdr:col>15</xdr:col>
      <xdr:colOff>405127</xdr:colOff>
      <xdr:row>24</xdr:row>
      <xdr:rowOff>171018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72FB47-4BFD-45BF-15E0-2435B0ADA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372700</xdr:colOff>
      <xdr:row>11</xdr:row>
      <xdr:rowOff>166257</xdr:rowOff>
    </xdr:from>
    <xdr:to>
      <xdr:col>26</xdr:col>
      <xdr:colOff>50349</xdr:colOff>
      <xdr:row>24</xdr:row>
      <xdr:rowOff>156731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A0856A8-E4B1-AE6D-FC3B-306C4BD286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439017</xdr:colOff>
      <xdr:row>1</xdr:row>
      <xdr:rowOff>24246</xdr:rowOff>
    </xdr:from>
    <xdr:to>
      <xdr:col>21</xdr:col>
      <xdr:colOff>585355</xdr:colOff>
      <xdr:row>3</xdr:row>
      <xdr:rowOff>32905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21EE00-CEC9-EBA1-24C9-906D9D9F1FDC}"/>
            </a:ext>
          </a:extLst>
        </xdr:cNvPr>
        <xdr:cNvSpPr txBox="1"/>
      </xdr:nvSpPr>
      <xdr:spPr>
        <a:xfrm>
          <a:off x="7906617" y="319521"/>
          <a:ext cx="6242338" cy="389659"/>
        </a:xfrm>
        <a:prstGeom prst="rect">
          <a:avLst/>
        </a:prstGeom>
        <a:solidFill>
          <a:schemeClr val="bg1"/>
        </a:solidFill>
        <a:ln w="19050"/>
        <a:effectLst>
          <a:outerShdw blurRad="50800" dist="38100" dir="2700000" algn="tl" rotWithShape="0">
            <a:prstClr val="black">
              <a:alpha val="40000"/>
            </a:prstClr>
          </a:outerShdw>
          <a:softEdge rad="25400"/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/>
            <a:t>TechNova Sales Dashboard</a:t>
          </a:r>
        </a:p>
      </xdr:txBody>
    </xdr:sp>
    <xdr:clientData/>
  </xdr:twoCellAnchor>
  <xdr:twoCellAnchor>
    <xdr:from>
      <xdr:col>8</xdr:col>
      <xdr:colOff>391393</xdr:colOff>
      <xdr:row>4</xdr:row>
      <xdr:rowOff>61481</xdr:rowOff>
    </xdr:from>
    <xdr:to>
      <xdr:col>11</xdr:col>
      <xdr:colOff>308583</xdr:colOff>
      <xdr:row>9</xdr:row>
      <xdr:rowOff>118631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C90CB5A-B844-03E2-1BB0-59D2139C8628}"/>
            </a:ext>
          </a:extLst>
        </xdr:cNvPr>
        <xdr:cNvSpPr/>
      </xdr:nvSpPr>
      <xdr:spPr>
        <a:xfrm>
          <a:off x="6002484" y="927390"/>
          <a:ext cx="1735599" cy="1009650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477119</xdr:colOff>
      <xdr:row>4</xdr:row>
      <xdr:rowOff>128157</xdr:rowOff>
    </xdr:from>
    <xdr:to>
      <xdr:col>11</xdr:col>
      <xdr:colOff>203033</xdr:colOff>
      <xdr:row>9</xdr:row>
      <xdr:rowOff>71007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E6CE78-151B-C3B8-E7DF-DBFEA63F7C1A}"/>
            </a:ext>
          </a:extLst>
        </xdr:cNvPr>
        <xdr:cNvSpPr txBox="1"/>
      </xdr:nvSpPr>
      <xdr:spPr>
        <a:xfrm>
          <a:off x="6088210" y="994066"/>
          <a:ext cx="1544323" cy="895350"/>
        </a:xfrm>
        <a:prstGeom prst="rect">
          <a:avLst/>
        </a:prstGeom>
        <a:noFill/>
        <a:ln w="2857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</a:t>
          </a:r>
          <a:r>
            <a:rPr lang="en-US" sz="14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Sales</a:t>
          </a:r>
          <a:r>
            <a:rPr lang="en-US" sz="14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</a:p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₦  5,400</a:t>
          </a:r>
          <a:endParaRPr lang="en-US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64204</xdr:colOff>
      <xdr:row>4</xdr:row>
      <xdr:rowOff>61481</xdr:rowOff>
    </xdr:from>
    <xdr:to>
      <xdr:col>18</xdr:col>
      <xdr:colOff>590549</xdr:colOff>
      <xdr:row>9</xdr:row>
      <xdr:rowOff>118631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50D37303-EFFC-43D2-B6ED-AE3440498117}"/>
            </a:ext>
          </a:extLst>
        </xdr:cNvPr>
        <xdr:cNvSpPr/>
      </xdr:nvSpPr>
      <xdr:spPr>
        <a:xfrm>
          <a:off x="9360604" y="928256"/>
          <a:ext cx="2964745" cy="1009650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152654</xdr:colOff>
      <xdr:row>4</xdr:row>
      <xdr:rowOff>128157</xdr:rowOff>
    </xdr:from>
    <xdr:to>
      <xdr:col>18</xdr:col>
      <xdr:colOff>514350</xdr:colOff>
      <xdr:row>9</xdr:row>
      <xdr:rowOff>71007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DBCECD-C88A-4A34-A633-5CBE14C630AB}"/>
            </a:ext>
          </a:extLst>
        </xdr:cNvPr>
        <xdr:cNvSpPr txBox="1"/>
      </xdr:nvSpPr>
      <xdr:spPr>
        <a:xfrm>
          <a:off x="9449054" y="994932"/>
          <a:ext cx="2800096" cy="895350"/>
        </a:xfrm>
        <a:prstGeom prst="rect">
          <a:avLst/>
        </a:prstGeom>
        <a:noFill/>
        <a:ln w="2857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Top</a:t>
          </a:r>
          <a:r>
            <a:rPr lang="en-US" sz="14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Product</a:t>
          </a:r>
          <a:endParaRPr lang="en-US" sz="1400" b="1" i="0" u="none" strike="noStrike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Washing Machine</a:t>
          </a:r>
          <a:endParaRPr lang="en-US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22</xdr:col>
      <xdr:colOff>48256</xdr:colOff>
      <xdr:row>4</xdr:row>
      <xdr:rowOff>61481</xdr:rowOff>
    </xdr:from>
    <xdr:to>
      <xdr:col>24</xdr:col>
      <xdr:colOff>581654</xdr:colOff>
      <xdr:row>9</xdr:row>
      <xdr:rowOff>118631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7AD9231-CB3A-418E-A250-F3087B5CE526}"/>
            </a:ext>
          </a:extLst>
        </xdr:cNvPr>
        <xdr:cNvSpPr/>
      </xdr:nvSpPr>
      <xdr:spPr>
        <a:xfrm>
          <a:off x="14221456" y="928256"/>
          <a:ext cx="1752598" cy="1009650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133982</xdr:colOff>
      <xdr:row>4</xdr:row>
      <xdr:rowOff>128157</xdr:rowOff>
    </xdr:from>
    <xdr:to>
      <xdr:col>24</xdr:col>
      <xdr:colOff>483067</xdr:colOff>
      <xdr:row>9</xdr:row>
      <xdr:rowOff>71007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FF90DA0-005F-4448-B89E-EFFB12AD2479}"/>
            </a:ext>
          </a:extLst>
        </xdr:cNvPr>
        <xdr:cNvSpPr txBox="1"/>
      </xdr:nvSpPr>
      <xdr:spPr>
        <a:xfrm>
          <a:off x="14307182" y="994932"/>
          <a:ext cx="1568285" cy="895350"/>
        </a:xfrm>
        <a:prstGeom prst="rect">
          <a:avLst/>
        </a:prstGeom>
        <a:noFill/>
        <a:ln w="2857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Best</a:t>
          </a:r>
          <a:r>
            <a:rPr lang="en-US" sz="14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Region</a:t>
          </a:r>
          <a:endParaRPr lang="en-US" sz="1400" b="1" i="0" u="none" strike="noStrike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US" sz="24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North</a:t>
          </a:r>
          <a:endParaRPr lang="en-US" sz="24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8</xdr:col>
      <xdr:colOff>392205</xdr:colOff>
      <xdr:row>26</xdr:row>
      <xdr:rowOff>112062</xdr:rowOff>
    </xdr:from>
    <xdr:to>
      <xdr:col>20</xdr:col>
      <xdr:colOff>108788</xdr:colOff>
      <xdr:row>34</xdr:row>
      <xdr:rowOff>11206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B121EE-6A49-49F4-21A4-E67259988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5146" y="5165915"/>
          <a:ext cx="6977995" cy="1423144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22</xdr:col>
      <xdr:colOff>238125</xdr:colOff>
      <xdr:row>31</xdr:row>
      <xdr:rowOff>85725</xdr:rowOff>
    </xdr:from>
    <xdr:to>
      <xdr:col>26</xdr:col>
      <xdr:colOff>504826</xdr:colOff>
      <xdr:row>34</xdr:row>
      <xdr:rowOff>133350</xdr:rowOff>
    </xdr:to>
    <xdr:sp macro="" textlink="">
      <xdr:nvSpPr>
        <xdr:cNvPr id="22" name="Rectangle: Diagonal Corners Rounded 21">
          <a:extLst>
            <a:ext uri="{FF2B5EF4-FFF2-40B4-BE49-F238E27FC236}">
              <a16:creationId xmlns:a16="http://schemas.microsoft.com/office/drawing/2014/main" id="{C7E77583-90EB-34C8-A0AE-67F8FC7582F0}"/>
            </a:ext>
          </a:extLst>
        </xdr:cNvPr>
        <xdr:cNvSpPr/>
      </xdr:nvSpPr>
      <xdr:spPr>
        <a:xfrm>
          <a:off x="14411325" y="6096000"/>
          <a:ext cx="2705101" cy="619125"/>
        </a:xfrm>
        <a:prstGeom prst="round2DiagRect">
          <a:avLst/>
        </a:prstGeom>
        <a:solidFill>
          <a:sysClr val="window" lastClr="FFFFFF"/>
        </a:solidFill>
        <a:ln w="19050"/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Data</a:t>
          </a:r>
          <a:r>
            <a:rPr lang="en-US" sz="1400" b="1" baseline="0">
              <a:solidFill>
                <a:schemeClr val="tx1"/>
              </a:solidFill>
            </a:rPr>
            <a:t> Source: TechNova Dataset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7.647147569442" createdVersion="8" refreshedVersion="8" minRefreshableVersion="3" recordCount="5" xr:uid="{304D90EB-4C37-4F9A-8F26-E8D8B165E7B9}">
  <cacheSource type="worksheet">
    <worksheetSource ref="A1:K6" sheet="Sales Data"/>
  </cacheSource>
  <cacheFields count="11">
    <cacheField name="OrderID" numFmtId="0">
      <sharedItems containsSemiMixedTypes="0" containsString="0" containsNumber="1" containsInteger="1" minValue="101" maxValue="105"/>
    </cacheField>
    <cacheField name="CustomerName" numFmtId="0">
      <sharedItems/>
    </cacheField>
    <cacheField name="Product" numFmtId="0">
      <sharedItems count="5">
        <s v="Laptop"/>
        <s v="Phone"/>
        <s v="Refrigerator"/>
        <s v="Washing Machine"/>
        <s v="Televisio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2"/>
    </cacheField>
    <cacheField name="UnitPrice" numFmtId="166">
      <sharedItems containsSemiMixedTypes="0" containsString="0" containsNumber="1" containsInteger="1" minValue="500" maxValue="1200"/>
    </cacheField>
    <cacheField name="Profit" numFmtId="166">
      <sharedItems containsSemiMixedTypes="0" containsString="0" containsNumber="1" containsInteger="1" minValue="140" maxValue="320"/>
    </cacheField>
    <cacheField name="OrderDate" numFmtId="0">
      <sharedItems containsSemiMixedTypes="0" containsString="0" containsNumber="1" containsInteger="1" minValue="45301" maxValue="45420"/>
    </cacheField>
    <cacheField name="Region" numFmtId="0">
      <sharedItems count="4">
        <s v="North"/>
        <s v="South"/>
        <s v="East"/>
        <s v="West"/>
      </sharedItems>
    </cacheField>
    <cacheField name="SalesAmount" numFmtId="164">
      <sharedItems containsSemiMixedTypes="0" containsString="0" containsNumber="1" containsInteger="1" minValue="700" maxValue="1600"/>
    </cacheField>
    <cacheField name="ActualSales" numFmtId="165">
      <sharedItems containsSemiMixedTypes="0" containsString="0" containsNumber="1" containsInteger="1" minValue="180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01"/>
    <s v="John Doe"/>
    <x v="0"/>
    <s v="Electronics"/>
    <n v="2"/>
    <n v="500"/>
    <n v="200"/>
    <n v="45301"/>
    <x v="0"/>
    <n v="1000"/>
    <n v="2500"/>
  </r>
  <r>
    <n v="102"/>
    <s v="Jane Smith"/>
    <x v="1"/>
    <s v="Electronics"/>
    <n v="1"/>
    <n v="700"/>
    <n v="140"/>
    <n v="45337"/>
    <x v="1"/>
    <n v="700"/>
    <n v="1800"/>
  </r>
  <r>
    <n v="103"/>
    <s v="Michael Tan"/>
    <x v="2"/>
    <s v="Home"/>
    <n v="1"/>
    <n v="1200"/>
    <n v="240"/>
    <n v="45356"/>
    <x v="2"/>
    <n v="1200"/>
    <n v="1900"/>
  </r>
  <r>
    <n v="104"/>
    <s v="Samuel Green"/>
    <x v="3"/>
    <s v="Home"/>
    <n v="2"/>
    <n v="800"/>
    <n v="320"/>
    <n v="45394"/>
    <x v="3"/>
    <n v="1600"/>
    <n v="2600"/>
  </r>
  <r>
    <n v="105"/>
    <s v="Alice Brown"/>
    <x v="4"/>
    <s v="Electronics"/>
    <n v="1"/>
    <n v="900"/>
    <n v="180"/>
    <n v="45420"/>
    <x v="0"/>
    <n v="900"/>
    <n v="2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5E6BE-1499-4027-BFC4-A78975FBAA2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11"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numFmtId="164" showAll="0"/>
    <pivotField numFmtId="165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Amount" fld="9" baseField="0" baseItem="0" numFmtId="173"/>
  </dataFields>
  <formats count="1">
    <format dxfId="1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DA0608-C557-423C-B405-FC0FF097399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1">
    <pivotField showAll="0"/>
    <pivotField showAll="0"/>
    <pivotField axis="axisRow" showAll="0" sortType="descending">
      <items count="6">
        <item x="0"/>
        <item x="1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numFmtId="166" showAll="0"/>
    <pivotField showAll="0"/>
    <pivotField showAll="0"/>
    <pivotField dataField="1" numFmtId="164" showAll="0"/>
    <pivotField numFmtId="165" showAll="0"/>
  </pivotFields>
  <rowFields count="1">
    <field x="2"/>
  </rowFields>
  <rowItems count="6">
    <i>
      <x v="4"/>
    </i>
    <i>
      <x v="2"/>
    </i>
    <i>
      <x/>
    </i>
    <i>
      <x v="3"/>
    </i>
    <i>
      <x v="1"/>
    </i>
    <i t="grand">
      <x/>
    </i>
  </rowItems>
  <colItems count="1">
    <i/>
  </colItems>
  <dataFields count="1">
    <dataField name="Sum of SalesAmount" fld="9" baseField="0" baseItem="0" numFmtId="164"/>
  </dataFields>
  <formats count="3">
    <format dxfId="8">
      <pivotArea collapsedLevelsAreSubtotals="1" fieldPosition="0">
        <references count="1">
          <reference field="2" count="1">
            <x v="4"/>
          </reference>
        </references>
      </pivotArea>
    </format>
    <format dxfId="6">
      <pivotArea collapsedLevelsAreSubtotals="1" fieldPosition="0">
        <references count="1">
          <reference field="2" count="4">
            <x v="0"/>
            <x v="1"/>
            <x v="2"/>
            <x v="3"/>
          </reference>
        </references>
      </pivotArea>
    </format>
    <format dxfId="4">
      <pivotArea grandRow="1" outline="0" collapsedLevelsAreSubtotals="1" fieldPosition="0"/>
    </format>
  </format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1E3CDE-4E0E-4477-A3B3-B41750CBA983}" name="Table1" displayName="Table1" ref="H8:M13" totalsRowShown="0">
  <autoFilter ref="H8:M13" xr:uid="{411E3CDE-4E0E-4477-A3B3-B41750CBA983}"/>
  <tableColumns count="6">
    <tableColumn id="1" xr3:uid="{302A9CA4-A795-411D-A2C7-CDF17157D8FE}" name="EmployeeID"/>
    <tableColumn id="2" xr3:uid="{BD946852-571B-4DBA-BF3F-A8ABA05D0CF5}" name="EmployeeName"/>
    <tableColumn id="3" xr3:uid="{1C1F4E0E-7F45-411D-85F6-A6C708C64AA4}" name="Region"/>
    <tableColumn id="4" xr3:uid="{27F4D8D8-72F0-47D2-B233-136B21B46491}" name="SalesTarget" dataDxfId="10"/>
    <tableColumn id="5" xr3:uid="{FDB4EA5A-A912-4B82-98BA-7009D1A7F5D8}" name="ActualSales" dataDxfId="9"/>
    <tableColumn id="6" xr3:uid="{272070C8-966E-47E9-8F43-CDB373A4C19A}" name="BonusEligi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6653-A9A4-4BEC-BC2C-1E3CEF74EB57}">
  <dimension ref="A3:B8"/>
  <sheetViews>
    <sheetView workbookViewId="0">
      <selection activeCell="H2" sqref="H2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2" t="s">
        <v>32</v>
      </c>
      <c r="B3" t="s">
        <v>34</v>
      </c>
    </row>
    <row r="4" spans="1:2" x14ac:dyDescent="0.25">
      <c r="A4" s="3" t="s">
        <v>19</v>
      </c>
      <c r="B4" s="13">
        <v>1200</v>
      </c>
    </row>
    <row r="5" spans="1:2" x14ac:dyDescent="0.25">
      <c r="A5" s="3" t="s">
        <v>12</v>
      </c>
      <c r="B5" s="13">
        <v>1900</v>
      </c>
    </row>
    <row r="6" spans="1:2" x14ac:dyDescent="0.25">
      <c r="A6" s="3" t="s">
        <v>15</v>
      </c>
      <c r="B6" s="13">
        <v>700</v>
      </c>
    </row>
    <row r="7" spans="1:2" x14ac:dyDescent="0.25">
      <c r="A7" s="3" t="s">
        <v>22</v>
      </c>
      <c r="B7" s="13">
        <v>1600</v>
      </c>
    </row>
    <row r="8" spans="1:2" x14ac:dyDescent="0.25">
      <c r="A8" s="3" t="s">
        <v>33</v>
      </c>
      <c r="B8" s="13">
        <v>5400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4A62-4BCC-48A9-AC6B-EC580ACBBA1E}">
  <dimension ref="A3:B9"/>
  <sheetViews>
    <sheetView workbookViewId="0">
      <selection activeCell="F5" sqref="F5"/>
    </sheetView>
  </sheetViews>
  <sheetFormatPr defaultRowHeight="15" x14ac:dyDescent="0.25"/>
  <cols>
    <col min="1" max="1" width="16.7109375" bestFit="1" customWidth="1"/>
    <col min="2" max="2" width="19.5703125" bestFit="1" customWidth="1"/>
  </cols>
  <sheetData>
    <row r="3" spans="1:2" x14ac:dyDescent="0.25">
      <c r="A3" s="2" t="s">
        <v>32</v>
      </c>
      <c r="B3" t="s">
        <v>34</v>
      </c>
    </row>
    <row r="4" spans="1:2" x14ac:dyDescent="0.25">
      <c r="A4" s="3" t="s">
        <v>21</v>
      </c>
      <c r="B4" s="13">
        <v>1600</v>
      </c>
    </row>
    <row r="5" spans="1:2" x14ac:dyDescent="0.25">
      <c r="A5" s="3" t="s">
        <v>17</v>
      </c>
      <c r="B5" s="13">
        <v>1200</v>
      </c>
    </row>
    <row r="6" spans="1:2" x14ac:dyDescent="0.25">
      <c r="A6" s="3" t="s">
        <v>10</v>
      </c>
      <c r="B6" s="13">
        <v>1000</v>
      </c>
    </row>
    <row r="7" spans="1:2" x14ac:dyDescent="0.25">
      <c r="A7" s="3" t="s">
        <v>24</v>
      </c>
      <c r="B7" s="13">
        <v>900</v>
      </c>
    </row>
    <row r="8" spans="1:2" x14ac:dyDescent="0.25">
      <c r="A8" s="3" t="s">
        <v>14</v>
      </c>
      <c r="B8" s="13">
        <v>700</v>
      </c>
    </row>
    <row r="9" spans="1:2" x14ac:dyDescent="0.25">
      <c r="A9" s="3" t="s">
        <v>33</v>
      </c>
      <c r="B9" s="13">
        <v>5400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E9CA-05F3-4050-9AA6-97B36A2A8911}">
  <dimension ref="A1:K42"/>
  <sheetViews>
    <sheetView showGridLines="0" tabSelected="1" zoomScale="55" zoomScaleNormal="55" workbookViewId="0">
      <selection activeCell="F13" sqref="F13"/>
    </sheetView>
  </sheetViews>
  <sheetFormatPr defaultRowHeight="15" x14ac:dyDescent="0.25"/>
  <cols>
    <col min="4" max="5" width="14.85546875" bestFit="1" customWidth="1"/>
  </cols>
  <sheetData>
    <row r="1" spans="1:6" ht="23.25" x14ac:dyDescent="0.35">
      <c r="A1" s="11"/>
      <c r="B1" s="11"/>
      <c r="C1" s="11"/>
      <c r="D1" s="11"/>
      <c r="E1" s="11"/>
      <c r="F1" s="11"/>
    </row>
    <row r="37" spans="10:11" x14ac:dyDescent="0.25">
      <c r="J37" s="10"/>
      <c r="K37" s="10"/>
    </row>
    <row r="38" spans="10:11" x14ac:dyDescent="0.25">
      <c r="J38" s="10"/>
      <c r="K38" s="10"/>
    </row>
    <row r="39" spans="10:11" x14ac:dyDescent="0.25">
      <c r="J39" s="10"/>
      <c r="K39" s="10"/>
    </row>
    <row r="40" spans="10:11" x14ac:dyDescent="0.25">
      <c r="J40" s="10"/>
      <c r="K40" s="10"/>
    </row>
    <row r="41" spans="10:11" x14ac:dyDescent="0.25">
      <c r="J41" s="10"/>
      <c r="K41" s="10"/>
    </row>
    <row r="42" spans="10:11" x14ac:dyDescent="0.25">
      <c r="J42" s="10"/>
      <c r="K42" s="10"/>
    </row>
  </sheetData>
  <mergeCells count="1">
    <mergeCell ref="A1:F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A08D-4696-41C4-AA17-8FCB3B76653D}">
  <dimension ref="A1:L6"/>
  <sheetViews>
    <sheetView workbookViewId="0">
      <selection activeCell="L3" sqref="L3"/>
    </sheetView>
  </sheetViews>
  <sheetFormatPr defaultRowHeight="15" x14ac:dyDescent="0.25"/>
  <cols>
    <col min="1" max="1" width="8" bestFit="1" customWidth="1"/>
    <col min="2" max="2" width="15" bestFit="1" customWidth="1"/>
    <col min="3" max="3" width="16.7109375" bestFit="1" customWidth="1"/>
    <col min="4" max="4" width="10.5703125" bestFit="1" customWidth="1"/>
    <col min="5" max="5" width="8.7109375" bestFit="1" customWidth="1"/>
    <col min="6" max="6" width="11" style="9" bestFit="1" customWidth="1"/>
    <col min="7" max="7" width="9.42578125" style="9" bestFit="1" customWidth="1"/>
    <col min="8" max="8" width="10.28515625" bestFit="1" customWidth="1"/>
    <col min="9" max="9" width="7.140625" bestFit="1" customWidth="1"/>
    <col min="10" max="10" width="12.7109375" style="5" bestFit="1" customWidth="1"/>
    <col min="11" max="11" width="11.42578125" style="7" bestFit="1" customWidth="1"/>
    <col min="12" max="12" width="11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8" t="s">
        <v>35</v>
      </c>
      <c r="H1" s="1" t="s">
        <v>6</v>
      </c>
      <c r="I1" s="1" t="s">
        <v>7</v>
      </c>
      <c r="J1" s="4" t="s">
        <v>8</v>
      </c>
      <c r="K1" s="6" t="s">
        <v>28</v>
      </c>
    </row>
    <row r="2" spans="1:12" x14ac:dyDescent="0.25">
      <c r="A2">
        <v>101</v>
      </c>
      <c r="B2" t="s">
        <v>9</v>
      </c>
      <c r="C2" t="s">
        <v>10</v>
      </c>
      <c r="D2" t="s">
        <v>11</v>
      </c>
      <c r="E2">
        <v>2</v>
      </c>
      <c r="F2" s="9">
        <v>500</v>
      </c>
      <c r="G2" s="9">
        <f>J2*0.2</f>
        <v>200</v>
      </c>
      <c r="H2">
        <v>45301</v>
      </c>
      <c r="I2" t="s">
        <v>12</v>
      </c>
      <c r="J2" s="5">
        <v>1000</v>
      </c>
      <c r="K2" s="7">
        <f>_xlfn.XLOOKUP(B2,Employees!B:B,Employees!E:E)</f>
        <v>2500</v>
      </c>
    </row>
    <row r="3" spans="1:12" x14ac:dyDescent="0.25">
      <c r="A3">
        <v>102</v>
      </c>
      <c r="B3" t="s">
        <v>13</v>
      </c>
      <c r="C3" t="s">
        <v>14</v>
      </c>
      <c r="D3" t="s">
        <v>11</v>
      </c>
      <c r="E3">
        <v>1</v>
      </c>
      <c r="F3" s="9">
        <v>700</v>
      </c>
      <c r="G3" s="9">
        <f t="shared" ref="G3:G6" si="0">J3*0.2</f>
        <v>140</v>
      </c>
      <c r="H3">
        <v>45337</v>
      </c>
      <c r="I3" t="s">
        <v>15</v>
      </c>
      <c r="J3" s="5">
        <v>700</v>
      </c>
      <c r="K3" s="7">
        <f>_xlfn.XLOOKUP(B3,Employees!B:B,Employees!E:E)</f>
        <v>1800</v>
      </c>
      <c r="L3" s="5"/>
    </row>
    <row r="4" spans="1:12" x14ac:dyDescent="0.25">
      <c r="A4">
        <v>103</v>
      </c>
      <c r="B4" t="s">
        <v>16</v>
      </c>
      <c r="C4" t="s">
        <v>17</v>
      </c>
      <c r="D4" t="s">
        <v>18</v>
      </c>
      <c r="E4">
        <v>1</v>
      </c>
      <c r="F4" s="9">
        <v>1200</v>
      </c>
      <c r="G4" s="9">
        <f t="shared" si="0"/>
        <v>240</v>
      </c>
      <c r="H4">
        <v>45356</v>
      </c>
      <c r="I4" t="s">
        <v>19</v>
      </c>
      <c r="J4" s="5">
        <v>1200</v>
      </c>
      <c r="K4" s="7">
        <f>_xlfn.XLOOKUP(B4,Employees!B:B,Employees!E:E)</f>
        <v>1900</v>
      </c>
    </row>
    <row r="5" spans="1:12" x14ac:dyDescent="0.25">
      <c r="A5">
        <v>104</v>
      </c>
      <c r="B5" t="s">
        <v>20</v>
      </c>
      <c r="C5" t="s">
        <v>21</v>
      </c>
      <c r="D5" t="s">
        <v>18</v>
      </c>
      <c r="E5">
        <v>2</v>
      </c>
      <c r="F5" s="9">
        <v>800</v>
      </c>
      <c r="G5" s="9">
        <f t="shared" si="0"/>
        <v>320</v>
      </c>
      <c r="H5">
        <v>45394</v>
      </c>
      <c r="I5" t="s">
        <v>22</v>
      </c>
      <c r="J5" s="5">
        <v>1600</v>
      </c>
      <c r="K5" s="7">
        <f>_xlfn.XLOOKUP(B5,Employees!B:B,Employees!E:E)</f>
        <v>2600</v>
      </c>
    </row>
    <row r="6" spans="1:12" x14ac:dyDescent="0.25">
      <c r="A6">
        <v>105</v>
      </c>
      <c r="B6" t="s">
        <v>23</v>
      </c>
      <c r="C6" t="s">
        <v>24</v>
      </c>
      <c r="D6" t="s">
        <v>11</v>
      </c>
      <c r="E6">
        <v>1</v>
      </c>
      <c r="F6" s="9">
        <v>900</v>
      </c>
      <c r="G6" s="9">
        <f t="shared" si="0"/>
        <v>180</v>
      </c>
      <c r="H6">
        <v>45420</v>
      </c>
      <c r="I6" t="s">
        <v>12</v>
      </c>
      <c r="J6" s="5">
        <v>900</v>
      </c>
      <c r="K6" s="7">
        <f>_xlfn.XLOOKUP(B6,Employees!B:B,Employees!E:E)</f>
        <v>2700</v>
      </c>
    </row>
  </sheetData>
  <conditionalFormatting sqref="K1:K1048576">
    <cfRule type="aboveAverage" dxfId="14" priority="1" aboveAverage="0"/>
    <cfRule type="cellIs" dxfId="13" priority="2" stopIfTrue="1" operator="lessThan">
      <formula>1800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9588-77DF-450A-8F3F-9A60E861F6F3}">
  <dimension ref="A1:M13"/>
  <sheetViews>
    <sheetView workbookViewId="0">
      <selection activeCell="K3" sqref="K3"/>
    </sheetView>
  </sheetViews>
  <sheetFormatPr defaultRowHeight="15" x14ac:dyDescent="0.25"/>
  <cols>
    <col min="1" max="1" width="11.7109375" bestFit="1" customWidth="1"/>
    <col min="2" max="2" width="15.28515625" bestFit="1" customWidth="1"/>
    <col min="3" max="3" width="7.140625" bestFit="1" customWidth="1"/>
    <col min="4" max="5" width="11.42578125" style="10" bestFit="1" customWidth="1"/>
    <col min="6" max="6" width="14.85546875" bestFit="1" customWidth="1"/>
    <col min="8" max="8" width="13.85546875" customWidth="1"/>
    <col min="9" max="9" width="17.28515625" customWidth="1"/>
    <col min="10" max="10" width="9.28515625" customWidth="1"/>
    <col min="11" max="12" width="14.7109375" customWidth="1"/>
    <col min="13" max="13" width="16.85546875" customWidth="1"/>
  </cols>
  <sheetData>
    <row r="1" spans="1:13" x14ac:dyDescent="0.25">
      <c r="A1" t="s">
        <v>25</v>
      </c>
      <c r="B1" t="s">
        <v>26</v>
      </c>
      <c r="C1" t="s">
        <v>7</v>
      </c>
      <c r="D1" s="10" t="s">
        <v>27</v>
      </c>
      <c r="E1" s="10" t="s">
        <v>28</v>
      </c>
      <c r="F1" t="s">
        <v>29</v>
      </c>
    </row>
    <row r="2" spans="1:13" x14ac:dyDescent="0.25">
      <c r="A2">
        <v>201</v>
      </c>
      <c r="B2" t="s">
        <v>9</v>
      </c>
      <c r="C2" t="s">
        <v>12</v>
      </c>
      <c r="D2" s="10">
        <v>1500</v>
      </c>
      <c r="E2" s="10">
        <v>2500</v>
      </c>
      <c r="F2" t="s">
        <v>30</v>
      </c>
    </row>
    <row r="3" spans="1:13" x14ac:dyDescent="0.25">
      <c r="A3">
        <v>202</v>
      </c>
      <c r="B3" t="s">
        <v>13</v>
      </c>
      <c r="C3" t="s">
        <v>15</v>
      </c>
      <c r="D3" s="10">
        <v>2000</v>
      </c>
      <c r="E3" s="10">
        <v>1800</v>
      </c>
      <c r="F3" t="s">
        <v>31</v>
      </c>
    </row>
    <row r="4" spans="1:13" x14ac:dyDescent="0.25">
      <c r="A4">
        <v>203</v>
      </c>
      <c r="B4" t="s">
        <v>16</v>
      </c>
      <c r="C4" t="s">
        <v>19</v>
      </c>
      <c r="D4" s="10">
        <v>1800</v>
      </c>
      <c r="E4" s="10">
        <v>1900</v>
      </c>
      <c r="F4" t="s">
        <v>30</v>
      </c>
    </row>
    <row r="5" spans="1:13" x14ac:dyDescent="0.25">
      <c r="A5">
        <v>204</v>
      </c>
      <c r="B5" t="s">
        <v>20</v>
      </c>
      <c r="C5" t="s">
        <v>22</v>
      </c>
      <c r="D5" s="10">
        <v>2500</v>
      </c>
      <c r="E5" s="10">
        <v>2600</v>
      </c>
      <c r="F5" t="s">
        <v>30</v>
      </c>
    </row>
    <row r="6" spans="1:13" x14ac:dyDescent="0.25">
      <c r="A6">
        <v>205</v>
      </c>
      <c r="B6" t="s">
        <v>23</v>
      </c>
      <c r="C6" t="s">
        <v>12</v>
      </c>
      <c r="D6" s="10">
        <v>3000</v>
      </c>
      <c r="E6" s="10">
        <v>2700</v>
      </c>
      <c r="F6" t="s">
        <v>31</v>
      </c>
    </row>
    <row r="8" spans="1:13" x14ac:dyDescent="0.25">
      <c r="H8" t="s">
        <v>25</v>
      </c>
      <c r="I8" t="s">
        <v>26</v>
      </c>
      <c r="J8" t="s">
        <v>7</v>
      </c>
      <c r="K8" s="12" t="s">
        <v>27</v>
      </c>
      <c r="L8" s="13" t="s">
        <v>28</v>
      </c>
      <c r="M8" t="s">
        <v>29</v>
      </c>
    </row>
    <row r="9" spans="1:13" x14ac:dyDescent="0.25">
      <c r="H9">
        <v>201</v>
      </c>
      <c r="I9" t="s">
        <v>9</v>
      </c>
      <c r="J9" t="s">
        <v>12</v>
      </c>
      <c r="K9" s="12">
        <v>1500</v>
      </c>
      <c r="L9" s="13">
        <v>2500</v>
      </c>
      <c r="M9" t="s">
        <v>30</v>
      </c>
    </row>
    <row r="10" spans="1:13" x14ac:dyDescent="0.25">
      <c r="H10">
        <v>202</v>
      </c>
      <c r="I10" t="s">
        <v>13</v>
      </c>
      <c r="J10" t="s">
        <v>15</v>
      </c>
      <c r="K10" s="12">
        <v>2000</v>
      </c>
      <c r="L10" s="13">
        <v>1800</v>
      </c>
      <c r="M10" t="s">
        <v>31</v>
      </c>
    </row>
    <row r="11" spans="1:13" x14ac:dyDescent="0.25">
      <c r="H11">
        <v>203</v>
      </c>
      <c r="I11" t="s">
        <v>16</v>
      </c>
      <c r="J11" t="s">
        <v>19</v>
      </c>
      <c r="K11" s="12">
        <v>1800</v>
      </c>
      <c r="L11" s="13">
        <v>1900</v>
      </c>
      <c r="M11" t="s">
        <v>30</v>
      </c>
    </row>
    <row r="12" spans="1:13" x14ac:dyDescent="0.25">
      <c r="H12">
        <v>204</v>
      </c>
      <c r="I12" t="s">
        <v>20</v>
      </c>
      <c r="J12" t="s">
        <v>22</v>
      </c>
      <c r="K12" s="12">
        <v>2500</v>
      </c>
      <c r="L12" s="13">
        <v>2600</v>
      </c>
      <c r="M12" t="s">
        <v>30</v>
      </c>
    </row>
    <row r="13" spans="1:13" x14ac:dyDescent="0.25">
      <c r="H13">
        <v>205</v>
      </c>
      <c r="I13" t="s">
        <v>23</v>
      </c>
      <c r="J13" t="s">
        <v>12</v>
      </c>
      <c r="K13" s="12">
        <v>3000</v>
      </c>
      <c r="L13" s="13">
        <v>2700</v>
      </c>
      <c r="M13" t="s">
        <v>31</v>
      </c>
    </row>
  </sheetData>
  <conditionalFormatting sqref="L8:L13">
    <cfRule type="expression" dxfId="11" priority="1">
      <formula>L8&lt;K8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Region</vt:lpstr>
      <vt:lpstr>Highest selling product</vt:lpstr>
      <vt:lpstr>Dashboard</vt:lpstr>
      <vt:lpstr>Sales Data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Moses</dc:creator>
  <cp:lastModifiedBy>Daniel Moses</cp:lastModifiedBy>
  <dcterms:created xsi:type="dcterms:W3CDTF">2026-03-16T09:35:21Z</dcterms:created>
  <dcterms:modified xsi:type="dcterms:W3CDTF">2026-03-18T12:30:36Z</dcterms:modified>
</cp:coreProperties>
</file>